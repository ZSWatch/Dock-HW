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'Costs'!$H$43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42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42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43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<sst xmlns="http://schemas.openxmlformats.org/spreadsheetml/2006/main" count="480" uniqueCount="263">
  <si>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</si>
  <si>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</si>
  <si>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</si>
  <si>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</si>
  <si>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</si>
  <si>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</si>
  <si>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</si>
  <si>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</si>
  <si>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</si>
  <si>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2</t>
  </si>
  <si>
    <t>C412 C413</t>
  </si>
  <si>
    <t>KYOCERA AVX</t>
  </si>
  <si>
    <t>06031A180KAT2A</t>
  </si>
  <si>
    <t>https://www.mouser.de/datasheet/2/40/cx5r_KGM-3223198.pdf</t>
  </si>
  <si>
    <t>C_0603_1608Metric</t>
  </si>
  <si>
    <t>Unpolarized capacitor, small symbol</t>
  </si>
  <si>
    <t>C408</t>
  </si>
  <si>
    <t>06031C471K4Z4A</t>
  </si>
  <si>
    <t>3</t>
  </si>
  <si>
    <t>13</t>
  </si>
  <si>
    <t>C401 C403 C404 C405 C406 C407 C409 C414 C415 C416 C417 C418 C419</t>
  </si>
  <si>
    <t>Kemet</t>
  </si>
  <si>
    <t>C0603C104M4RAC7411</t>
  </si>
  <si>
    <t>https://www.mouser.de/datasheet/2/447/KEM_C1002_X7R_SMD-3316098.pdf</t>
  </si>
  <si>
    <t>4</t>
  </si>
  <si>
    <t>C410</t>
  </si>
  <si>
    <t>TDK</t>
  </si>
  <si>
    <t>C1608X7R1H105K080AB</t>
  </si>
  <si>
    <t>https://product.tdk.com/system/files/dam/doc/product/capacitor/ceramic/mlcc/catalog/mlcc_commercial_general_en.pdf</t>
  </si>
  <si>
    <t>5</t>
  </si>
  <si>
    <t>C402 C411</t>
  </si>
  <si>
    <t>0603YD225KAT4A</t>
  </si>
  <si>
    <t>6</t>
  </si>
  <si>
    <t>D404</t>
  </si>
  <si>
    <t>Wurth Elektronik</t>
  </si>
  <si>
    <t>150060YS75020</t>
  </si>
  <si>
    <t>https://www.we-online.com/components/products/datasheet/150060GS75020.pdf</t>
  </si>
  <si>
    <t>LED_0603_1608Metric</t>
  </si>
  <si>
    <t>Light emitting diode</t>
  </si>
  <si>
    <t>7</t>
  </si>
  <si>
    <t>D401 D402</t>
  </si>
  <si>
    <t>onsemi</t>
  </si>
  <si>
    <t>ESD5Z5.0T5G</t>
  </si>
  <si>
    <t>https://www.onsemi.com/pdf/datasheet/esd5z2.5t1-d.pdf</t>
  </si>
  <si>
    <t>D_SOD-523</t>
  </si>
  <si>
    <t>ESD Protection Diode, SOD-523</t>
  </si>
  <si>
    <t>8</t>
  </si>
  <si>
    <t>D403</t>
  </si>
  <si>
    <t>ams OSRAM</t>
  </si>
  <si>
    <t>LG L29K-G2J1-24</t>
  </si>
  <si>
    <t>https://www.mouser.de/datasheet/2/588/LG_L29K_EN-3419084.pdf</t>
  </si>
  <si>
    <t>9</t>
  </si>
  <si>
    <t>IC403</t>
  </si>
  <si>
    <t>FTDI</t>
  </si>
  <si>
    <t>FT230XQ-R</t>
  </si>
  <si>
    <t>https://ftdichip.com/wp-content/uploads/2025/06/DS_FT230X.pdf</t>
  </si>
  <si>
    <t>QFN-16-1EP_4x4mm_P0.65mm_EP2.1x2.1mm</t>
  </si>
  <si>
    <t>Full Speed USB to Basic UART, QFN-16</t>
  </si>
  <si>
    <t>10</t>
  </si>
  <si>
    <t>IC409</t>
  </si>
  <si>
    <t>Microchip Technology</t>
  </si>
  <si>
    <t>MIC2026-1YM</t>
  </si>
  <si>
    <t>https://ww1.microchip.com/downloads/aemDocuments/documents/APID/ProductDocuments/DataSheets/MIC2026-MIC2076-Dual-Channel-Power-Distribution-Switch-DS20006443A.pdf</t>
  </si>
  <si>
    <t>SOIC-8_3.9x4.9mm_P1.27mm</t>
  </si>
  <si>
    <t>Dual-channel, high side, power distribution switch, 2.7V-5.5V, Active High Output, SOIC-8</t>
  </si>
  <si>
    <t>11</t>
  </si>
  <si>
    <t>IC404</t>
  </si>
  <si>
    <t>MIC5219-3.3YM5-TR</t>
  </si>
  <si>
    <t>http://ww1.microchip.com/downloads/en/DeviceDoc/MIC5219-500mA-Peak-Output-LDO-Regulator-DS20006021A.pdf</t>
  </si>
  <si>
    <t>SOT-23-5</t>
  </si>
  <si>
    <t>500mA low dropout linear regulator, fixed 3.3V output, SOT-23-5</t>
  </si>
  <si>
    <t>12</t>
  </si>
  <si>
    <t>IC401</t>
  </si>
  <si>
    <t>Texas Instruments</t>
  </si>
  <si>
    <t>TLV70218DBVRG4</t>
  </si>
  <si>
    <t>http://www.ti.com/lit/ds/symlink/tlv702.pdf</t>
  </si>
  <si>
    <t>300mA Low Dropout Voltage Regulator, Fixed Output 1.8V, SOT-23-5</t>
  </si>
  <si>
    <t>IC405</t>
  </si>
  <si>
    <t>TXB0304RUTR</t>
  </si>
  <si>
    <t>http://www.ti.com/lit/ds/symlink/txb0304.pdf</t>
  </si>
  <si>
    <t>Texas_R-PUQFN-N12</t>
  </si>
  <si>
    <t>4-Bit Bidirectional Voltage-Level Translator, Auto Direction Sensing, 0.9 - 3.6V APort, 0.9 - 3.6V BPort, Active High Output Enable, Texas_PUQFN-12</t>
  </si>
  <si>
    <t>14</t>
  </si>
  <si>
    <t>IC407</t>
  </si>
  <si>
    <t>USB2512BT/M2</t>
  </si>
  <si>
    <t>https://ww1.microchip.com/downloads/aemDocuments/documents/UNG/ProductDocuments/DataSheets/USB251xB-xBi-Data-Sheet-DS00001692.pdf</t>
  </si>
  <si>
    <t>QFN-36-1EP_6x6mm_P0.5mm_EP3.7x3.7mm</t>
  </si>
  <si>
    <t/>
  </si>
  <si>
    <t>15</t>
  </si>
  <si>
    <t>IC402 IC406 IC408</t>
  </si>
  <si>
    <t>STMicroelectronics</t>
  </si>
  <si>
    <t>USBLC6-2P6</t>
  </si>
  <si>
    <t>https://www.st.com/resource/en/datasheet/usblc6-2.pdf</t>
  </si>
  <si>
    <t>SOT-666</t>
  </si>
  <si>
    <t>Very low capacitance ESD protection diode, 2 data-line, SOT-666</t>
  </si>
  <si>
    <t>16</t>
  </si>
  <si>
    <t>J401</t>
  </si>
  <si>
    <t>Würth Elektronik</t>
  </si>
  <si>
    <t>60900213421</t>
  </si>
  <si>
    <t>https://www.we-online.com/katalog/datasheet/60900213421.pdf</t>
  </si>
  <si>
    <t>Generic jumper cap</t>
  </si>
  <si>
    <t>17</t>
  </si>
  <si>
    <t>J402 X402</t>
  </si>
  <si>
    <t>Amphenol FCI</t>
  </si>
  <si>
    <t>10129378-936001BLF</t>
  </si>
  <si>
    <t>https://cdn.amphenol-cs.com/media/wysiwyg/files/documentation/datasheet/boardwiretoboard/bwb_econostik_254headers.pdf</t>
  </si>
  <si>
    <t>PinHeader_1x03_P2.54mm_Vertical</t>
  </si>
  <si>
    <t>Generic connector, single row, 01x03, script generated (kicad-library-utils/schlib/autogen/connector/)</t>
  </si>
  <si>
    <t>18</t>
  </si>
  <si>
    <t>Q401</t>
  </si>
  <si>
    <t>Nexperia</t>
  </si>
  <si>
    <t>BSH205G2AR</t>
  </si>
  <si>
    <t>https://assets.nexperia.com/documents/data-sheet/BSH205G2A.pdf</t>
  </si>
  <si>
    <t>SOT-23</t>
  </si>
  <si>
    <t>-2A Id, -20V Vds, P-Channel MOSFET, SOT-23</t>
  </si>
  <si>
    <t>19</t>
  </si>
  <si>
    <t>R405 R418</t>
  </si>
  <si>
    <t>Bourns</t>
  </si>
  <si>
    <t>CR0805-J/-000ELF</t>
  </si>
  <si>
    <t>https://www.mouser.de/datasheet/2/54/cr-1858361.pdf</t>
  </si>
  <si>
    <t>R_0805_2012Metric</t>
  </si>
  <si>
    <t>Resistor, small symbol</t>
  </si>
  <si>
    <t>20</t>
  </si>
  <si>
    <t>R402 R403</t>
  </si>
  <si>
    <t>CR0603-JW-220ELF</t>
  </si>
  <si>
    <t>R_0603_1608Metric</t>
  </si>
  <si>
    <t>21</t>
  </si>
  <si>
    <t>R421</t>
  </si>
  <si>
    <t>CR0603-JW-621ELF</t>
  </si>
  <si>
    <t>22</t>
  </si>
  <si>
    <t>R407</t>
  </si>
  <si>
    <t>Vishay</t>
  </si>
  <si>
    <t>CRCW06033K300FKEA</t>
  </si>
  <si>
    <t>https://www.vishay.com/doc?20035</t>
  </si>
  <si>
    <t>23</t>
  </si>
  <si>
    <t>R409 R410</t>
  </si>
  <si>
    <t>CRCW06035K10FKEA</t>
  </si>
  <si>
    <t>24</t>
  </si>
  <si>
    <t>R401 R404 R408 R412 R413 R414 R419 R420</t>
  </si>
  <si>
    <t>YAGEO</t>
  </si>
  <si>
    <t>RC0603FR-07100KL</t>
  </si>
  <si>
    <t>https://www.mouser.de/datasheet/2/447/YAGEO_PYu_RC_Group_51_RoHS_L_12-3313492.pdf</t>
  </si>
  <si>
    <t>25</t>
  </si>
  <si>
    <t>R417</t>
  </si>
  <si>
    <t>CR0603-FX-1202ELF</t>
  </si>
  <si>
    <t>26</t>
  </si>
  <si>
    <t>S401</t>
  </si>
  <si>
    <t>430182050816</t>
  </si>
  <si>
    <t>https://www.we-online.com/components/products/datasheet/430182050816.pdf</t>
  </si>
  <si>
    <t>WS-TASV-6x6</t>
  </si>
  <si>
    <t>27</t>
  </si>
  <si>
    <t>SW401</t>
  </si>
  <si>
    <t>C&amp;K</t>
  </si>
  <si>
    <t>PCM12SMTR</t>
  </si>
  <si>
    <t>https://ckswitches.com/media/1424/pcm.pdf</t>
  </si>
  <si>
    <t>SW_SPDT_PCM12</t>
  </si>
  <si>
    <t>Switch, dual pole double throw, separate symbols</t>
  </si>
  <si>
    <t>28</t>
  </si>
  <si>
    <t>X401</t>
  </si>
  <si>
    <t>62101021021</t>
  </si>
  <si>
    <t>https://www.we-online.com/components/products/datasheet/62101021021.pdf</t>
  </si>
  <si>
    <t>SHF-105-01-L-D-SM-TR</t>
  </si>
  <si>
    <t>Cortex Debug Connector, standard ARM Cortex-M SWD and JTAG interface</t>
  </si>
  <si>
    <t>29</t>
  </si>
  <si>
    <t>X404</t>
  </si>
  <si>
    <t>GlobTek, Inc.</t>
  </si>
  <si>
    <t>PLUG-USBC-241SMT-4BC2SS</t>
  </si>
  <si>
    <t>https://spec.globtek.info/spec/pdf/2342615/d2760418</t>
  </si>
  <si>
    <t>USB Full-Featured Type-C edge connector</t>
  </si>
  <si>
    <t>30</t>
  </si>
  <si>
    <t>X403</t>
  </si>
  <si>
    <t>Amphenol Commercial Products</t>
  </si>
  <si>
    <t>12401610E4-2A</t>
  </si>
  <si>
    <t>https://www.usb.org/sites/default/files/documents/usb_type-c.zip</t>
  </si>
  <si>
    <t>USB_C_Receptacle_Amphenol_12401610E4-2A</t>
  </si>
  <si>
    <t>USB Full-Featured Type-C Receptacle connector</t>
  </si>
  <si>
    <t>31</t>
  </si>
  <si>
    <t>Y401</t>
  </si>
  <si>
    <t>ABRACON</t>
  </si>
  <si>
    <t>ABM8G-24.000MHZ-B4Y-T</t>
  </si>
  <si>
    <t>https://www.mouser.de/datasheet/2/3/ABM8G-3318032.pdf</t>
  </si>
  <si>
    <t>Crystal_SMD_Abracon_ABM8G-4Pin_3.2x2.5mm</t>
  </si>
  <si>
    <t>Four pin crystal, GND on pins 2 and 4</t>
  </si>
  <si>
    <t>Bill of Materials</t>
  </si>
  <si>
    <t>Schematic:</t>
  </si>
  <si>
    <t>ZSWatch-Dock</t>
  </si>
  <si>
    <t>Variant:</t>
  </si>
  <si>
    <t>PRELIMINARY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</si>
  <si>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</si>
  <si>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</si>
  <si>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</si>
  <si>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</si>
  <si>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</si>
  <si>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</si>
  <si>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</si>
  <si>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59 (56 SMD/ 2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</si>
  <si>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</si>
  <si>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</si>
  <si>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</si>
  <si>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</si>
  <si>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</si>
  <si>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</si>
  <si>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</si>
  <si>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</si>
  <si>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</si>
  <si>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</si>
  <si>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18p</t>
  </si>
  <si>
    <t>470p</t>
  </si>
  <si>
    <t>100n</t>
  </si>
  <si>
    <t>1u</t>
  </si>
  <si>
    <t>2u2</t>
  </si>
  <si>
    <t>Charge</t>
  </si>
  <si>
    <t>ESD5Zxx</t>
  </si>
  <si>
    <t>USB</t>
  </si>
  <si>
    <t>FT230XQ</t>
  </si>
  <si>
    <t>MIC2026-1xM</t>
  </si>
  <si>
    <t>MIC5219-3.3YM5</t>
  </si>
  <si>
    <t>TLV70218_SOT23-5</t>
  </si>
  <si>
    <t>TXB0304RUT</t>
  </si>
  <si>
    <t>USB2512BT</t>
  </si>
  <si>
    <t>Jumper</t>
  </si>
  <si>
    <t>Voltage</t>
  </si>
  <si>
    <t>0R</t>
  </si>
  <si>
    <t>22R</t>
  </si>
  <si>
    <t>620R</t>
  </si>
  <si>
    <t>3k3</t>
  </si>
  <si>
    <t>5k1</t>
  </si>
  <si>
    <t>100k</t>
  </si>
  <si>
    <t>12k / 1%</t>
  </si>
  <si>
    <t>Reset</t>
  </si>
  <si>
    <t>Debug</t>
  </si>
  <si>
    <t>Device</t>
  </si>
  <si>
    <t>Host</t>
  </si>
  <si>
    <t>24 MHz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</si>
  <si>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</si>
  <si>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</si>
  <si>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</si>
  <si>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</si>
  <si>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</si>
  <si>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</si>
  <si>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</si>
  <si>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</si>
  <si>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</si>
  <si>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</si>
  <si>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</si>
  <si>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</si>
  <si>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2026-02-23 09:25:22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</si>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</sst>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1" borderId="0" xfId="0" applyFill="1" applyAlignment="1">
      <alignment horizontal="centerContinuous" vertical="center" wrapText="1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s://www.mouser.de/datasheet/2/40/cx5r_KGM-3223198.pdf" TargetMode="External"/><Relationship Id="rId3" Type="http://schemas.openxmlformats.org/officeDocument/2006/relationships/hyperlink" Target="https://www.mouser.de/datasheet/2/447/KEM_C1002_X7R_SMD-3316098.pdf" TargetMode="External"/><Relationship Id="rId4" Type="http://schemas.openxmlformats.org/officeDocument/2006/relationships/hyperlink" Target="https://product.tdk.com/system/files/dam/doc/product/capacitor/ceramic/mlcc/catalog/mlcc_commercial_general_en.pdf" TargetMode="External"/><Relationship Id="rId5" Type="http://schemas.openxmlformats.org/officeDocument/2006/relationships/hyperlink" Target="https://www.mouser.de/datasheet/2/40/cx5r_KGM-3223198.pdf" TargetMode="External"/><Relationship Id="rId6" Type="http://schemas.openxmlformats.org/officeDocument/2006/relationships/hyperlink" Target="https://www.we-online.com/components/products/datasheet/150060GS75020.pdf" TargetMode="External"/><Relationship Id="rId7" Type="http://schemas.openxmlformats.org/officeDocument/2006/relationships/hyperlink" Target="https://www.onsemi.com/pdf/datasheet/esd5z2.5t1-d.pdf" TargetMode="External"/><Relationship Id="rId8" Type="http://schemas.openxmlformats.org/officeDocument/2006/relationships/hyperlink" Target="https://www.mouser.de/datasheet/2/588/LG_L29K_EN-3419084.pdf" TargetMode="External"/><Relationship Id="rId9" Type="http://schemas.openxmlformats.org/officeDocument/2006/relationships/hyperlink" Target="https://ftdichip.com/wp-content/uploads/2025/06/DS_FT230X.pdf" TargetMode="External"/><Relationship Id="rId10" Type="http://schemas.openxmlformats.org/officeDocument/2006/relationships/hyperlink" Target="https://ww1.microchip.com/downloads/aemDocuments/documents/APID/ProductDocuments/DataSheets/MIC2026-MIC2076-Dual-Channel-Power-Distribution-Switch-DS20006443A.pdf" TargetMode="External"/><Relationship Id="rId11" Type="http://schemas.openxmlformats.org/officeDocument/2006/relationships/hyperlink" Target="http://ww1.microchip.com/downloads/en/DeviceDoc/MIC5219-500mA-Peak-Output-LDO-Regulator-DS20006021A.pdf" TargetMode="External"/><Relationship Id="rId12" Type="http://schemas.openxmlformats.org/officeDocument/2006/relationships/hyperlink" Target="http://www.ti.com/lit/ds/symlink/tlv702.pdf" TargetMode="External"/><Relationship Id="rId13" Type="http://schemas.openxmlformats.org/officeDocument/2006/relationships/hyperlink" Target="http://www.ti.com/lit/ds/symlink/txb0304.pdf" TargetMode="External"/><Relationship Id="rId14" Type="http://schemas.openxmlformats.org/officeDocument/2006/relationships/hyperlink" Target="https://ww1.microchip.com/downloads/aemDocuments/documents/UNG/ProductDocuments/DataSheets/USB251xB-xBi-Data-Sheet-DS00001692.pdf" TargetMode="External"/><Relationship Id="rId15" Type="http://schemas.openxmlformats.org/officeDocument/2006/relationships/hyperlink" Target="https://www.st.com/resource/en/datasheet/usblc6-2.pdf" TargetMode="External"/><Relationship Id="rId16" Type="http://schemas.openxmlformats.org/officeDocument/2006/relationships/hyperlink" Target="https://www.we-online.com/katalog/datasheet/60900213421.pdf" TargetMode="External"/><Relationship Id="rId17" Type="http://schemas.openxmlformats.org/officeDocument/2006/relationships/hyperlink" Target="https://cdn.amphenol-cs.com/media/wysiwyg/files/documentation/datasheet/boardwiretoboard/bwb_econostik_254headers.pdf" TargetMode="External"/><Relationship Id="rId18" Type="http://schemas.openxmlformats.org/officeDocument/2006/relationships/hyperlink" Target="https://assets.nexperia.com/documents/data-sheet/BSH205G2A.pdf" TargetMode="External"/><Relationship Id="rId19" Type="http://schemas.openxmlformats.org/officeDocument/2006/relationships/hyperlink" Target="https://www.mouser.de/datasheet/2/54/cr-1858361.pdf" TargetMode="External"/><Relationship Id="rId20" Type="http://schemas.openxmlformats.org/officeDocument/2006/relationships/hyperlink" Target="https://www.mouser.de/datasheet/2/54/cr-1858361.pdf" TargetMode="External"/><Relationship Id="rId21" Type="http://schemas.openxmlformats.org/officeDocument/2006/relationships/hyperlink" Target="https://www.mouser.de/datasheet/2/54/cr-1858361.pdf" TargetMode="External"/><Relationship Id="rId22" Type="http://schemas.openxmlformats.org/officeDocument/2006/relationships/hyperlink" Target="https://www.vishay.com/doc?20035" TargetMode="External"/><Relationship Id="rId23" Type="http://schemas.openxmlformats.org/officeDocument/2006/relationships/hyperlink" Target="https://www.vishay.com/doc?20035" TargetMode="External"/><Relationship Id="rId24" Type="http://schemas.openxmlformats.org/officeDocument/2006/relationships/hyperlink" Target="https://www.mouser.de/datasheet/2/447/YAGEO_PYu_RC_Group_51_RoHS_L_12-3313492.pdf" TargetMode="External"/><Relationship Id="rId25" Type="http://schemas.openxmlformats.org/officeDocument/2006/relationships/hyperlink" Target="https://www.mouser.de/datasheet/2/54/cr-1858361.pdf" TargetMode="External"/><Relationship Id="rId26" Type="http://schemas.openxmlformats.org/officeDocument/2006/relationships/hyperlink" Target="https://www.we-online.com/components/products/datasheet/430182050816.pdf" TargetMode="External"/><Relationship Id="rId27" Type="http://schemas.openxmlformats.org/officeDocument/2006/relationships/hyperlink" Target="https://ckswitches.com/media/1424/pcm.pdf" TargetMode="External"/><Relationship Id="rId28" Type="http://schemas.openxmlformats.org/officeDocument/2006/relationships/hyperlink" Target="https://www.we-online.com/components/products/datasheet/62101021021.pdf" TargetMode="External"/><Relationship Id="rId29" Type="http://schemas.openxmlformats.org/officeDocument/2006/relationships/hyperlink" Target="https://spec.globtek.info/spec/pdf/2342615/d2760418" TargetMode="External"/><Relationship Id="rId30" Type="http://schemas.openxmlformats.org/officeDocument/2006/relationships/hyperlink" Target="https://www.usb.org/sites/default/files/documents/usb_type-c.zip" TargetMode="External"/><Relationship Id="rId31" Type="http://schemas.openxmlformats.org/officeDocument/2006/relationships/hyperlink" Target="https://www.mouser.de/datasheet/2/3/ABM8G-3318032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s://www.mouser.de/datasheet/2/40/cx5r_KGM-3223198.pdf" TargetMode="External"/><Relationship Id="rId3" Type="http://schemas.openxmlformats.org/officeDocument/2006/relationships/hyperlink" Target="https://www.mouser.de/datasheet/2/447/KEM_C1002_X7R_SMD-3316098.pdf" TargetMode="External"/><Relationship Id="rId4" Type="http://schemas.openxmlformats.org/officeDocument/2006/relationships/hyperlink" Target="https://product.tdk.com/system/files/dam/doc/product/capacitor/ceramic/mlcc/catalog/mlcc_commercial_general_en.pdf" TargetMode="External"/><Relationship Id="rId5" Type="http://schemas.openxmlformats.org/officeDocument/2006/relationships/hyperlink" Target="https://www.mouser.de/datasheet/2/40/cx5r_KGM-3223198.pdf" TargetMode="External"/><Relationship Id="rId6" Type="http://schemas.openxmlformats.org/officeDocument/2006/relationships/hyperlink" Target="https://www.we-online.com/components/products/datasheet/150060GS75020.pdf" TargetMode="External"/><Relationship Id="rId7" Type="http://schemas.openxmlformats.org/officeDocument/2006/relationships/hyperlink" Target="https://www.onsemi.com/pdf/datasheet/esd5z2.5t1-d.pdf" TargetMode="External"/><Relationship Id="rId8" Type="http://schemas.openxmlformats.org/officeDocument/2006/relationships/hyperlink" Target="https://www.mouser.de/datasheet/2/588/LG_L29K_EN-3419084.pdf" TargetMode="External"/><Relationship Id="rId9" Type="http://schemas.openxmlformats.org/officeDocument/2006/relationships/hyperlink" Target="https://ftdichip.com/wp-content/uploads/2025/06/DS_FT230X.pdf" TargetMode="External"/><Relationship Id="rId10" Type="http://schemas.openxmlformats.org/officeDocument/2006/relationships/hyperlink" Target="https://ww1.microchip.com/downloads/aemDocuments/documents/APID/ProductDocuments/DataSheets/MIC2026-MIC2076-Dual-Channel-Power-Distribution-Switch-DS20006443A.pdf" TargetMode="External"/><Relationship Id="rId11" Type="http://schemas.openxmlformats.org/officeDocument/2006/relationships/hyperlink" Target="http://ww1.microchip.com/downloads/en/DeviceDoc/MIC5219-500mA-Peak-Output-LDO-Regulator-DS20006021A.pdf" TargetMode="External"/><Relationship Id="rId12" Type="http://schemas.openxmlformats.org/officeDocument/2006/relationships/hyperlink" Target="http://www.ti.com/lit/ds/symlink/tlv702.pdf" TargetMode="External"/><Relationship Id="rId13" Type="http://schemas.openxmlformats.org/officeDocument/2006/relationships/hyperlink" Target="http://www.ti.com/lit/ds/symlink/txb0304.pdf" TargetMode="External"/><Relationship Id="rId14" Type="http://schemas.openxmlformats.org/officeDocument/2006/relationships/hyperlink" Target="https://ww1.microchip.com/downloads/aemDocuments/documents/UNG/ProductDocuments/DataSheets/USB251xB-xBi-Data-Sheet-DS00001692.pdf" TargetMode="External"/><Relationship Id="rId15" Type="http://schemas.openxmlformats.org/officeDocument/2006/relationships/hyperlink" Target="https://www.st.com/resource/en/datasheet/usblc6-2.pdf" TargetMode="External"/><Relationship Id="rId16" Type="http://schemas.openxmlformats.org/officeDocument/2006/relationships/hyperlink" Target="https://www.we-online.com/katalog/datasheet/60900213421.pdf" TargetMode="External"/><Relationship Id="rId17" Type="http://schemas.openxmlformats.org/officeDocument/2006/relationships/hyperlink" Target="https://cdn.amphenol-cs.com/media/wysiwyg/files/documentation/datasheet/boardwiretoboard/bwb_econostik_254headers.pdf" TargetMode="External"/><Relationship Id="rId18" Type="http://schemas.openxmlformats.org/officeDocument/2006/relationships/hyperlink" Target="https://assets.nexperia.com/documents/data-sheet/BSH205G2A.pdf" TargetMode="External"/><Relationship Id="rId19" Type="http://schemas.openxmlformats.org/officeDocument/2006/relationships/hyperlink" Target="https://www.mouser.de/datasheet/2/54/cr-1858361.pdf" TargetMode="External"/><Relationship Id="rId20" Type="http://schemas.openxmlformats.org/officeDocument/2006/relationships/hyperlink" Target="https://www.mouser.de/datasheet/2/54/cr-1858361.pdf" TargetMode="External"/><Relationship Id="rId21" Type="http://schemas.openxmlformats.org/officeDocument/2006/relationships/hyperlink" Target="https://www.mouser.de/datasheet/2/54/cr-1858361.pdf" TargetMode="External"/><Relationship Id="rId22" Type="http://schemas.openxmlformats.org/officeDocument/2006/relationships/hyperlink" Target="https://www.vishay.com/doc?20035" TargetMode="External"/><Relationship Id="rId23" Type="http://schemas.openxmlformats.org/officeDocument/2006/relationships/hyperlink" Target="https://www.vishay.com/doc?20035" TargetMode="External"/><Relationship Id="rId24" Type="http://schemas.openxmlformats.org/officeDocument/2006/relationships/hyperlink" Target="https://www.mouser.de/datasheet/2/447/YAGEO_PYu_RC_Group_51_RoHS_L_12-3313492.pdf" TargetMode="External"/><Relationship Id="rId25" Type="http://schemas.openxmlformats.org/officeDocument/2006/relationships/hyperlink" Target="https://www.mouser.de/datasheet/2/54/cr-1858361.pdf" TargetMode="External"/><Relationship Id="rId26" Type="http://schemas.openxmlformats.org/officeDocument/2006/relationships/hyperlink" Target="https://www.we-online.com/components/products/datasheet/430182050816.pdf" TargetMode="External"/><Relationship Id="rId27" Type="http://schemas.openxmlformats.org/officeDocument/2006/relationships/hyperlink" Target="https://ckswitches.com/media/1424/pcm.pdf" TargetMode="External"/><Relationship Id="rId28" Type="http://schemas.openxmlformats.org/officeDocument/2006/relationships/hyperlink" Target="https://www.we-online.com/components/products/datasheet/62101021021.pdf" TargetMode="External"/><Relationship Id="rId29" Type="http://schemas.openxmlformats.org/officeDocument/2006/relationships/hyperlink" Target="https://spec.globtek.info/spec/pdf/2342615/d2760418" TargetMode="External"/><Relationship Id="rId30" Type="http://schemas.openxmlformats.org/officeDocument/2006/relationships/hyperlink" Target="https://www.usb.org/sites/default/files/documents/usb_type-c.zip" TargetMode="External"/><Relationship Id="rId31" Type="http://schemas.openxmlformats.org/officeDocument/2006/relationships/hyperlink" Target="https://www.mouser.de/datasheet/2/3/ABM8G-3318032.pdf" TargetMode="External"/><Relationship Id="rId32" Type="http://schemas.openxmlformats.org/officeDocument/2006/relationships/hyperlink" Target="https://mouser.com/bom/" TargetMode="External"/><Relationship Id="rId33" Type="http://schemas.openxmlformats.org/officeDocument/2006/relationships/vmlDrawing" Target="../drawings/vmlDrawing1.vml"/><Relationship Id="rId3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33.7109375" customWidth="1"/>
    <col min="5" max="5" width="28.7109375" customWidth="1"/>
    <col min="6" max="6" width="60.7109375" customWidth="1"/>
    <col min="7" max="7" width="45.7109375" customWidth="1"/>
    <col min="8" max="8" width="60.7109375" customWidth="1"/>
  </cols>
  <sheetData>
    <row r="1" spans="1:8" ht="32" customHeight="1">
      <c r="A1" s="1" t="s">
        <v>183</v>
      </c>
      <c r="B1" s="1"/>
      <c r="C1" s="1"/>
      <c r="D1" s="1"/>
      <c r="E1" s="1"/>
      <c r="F1" s="1"/>
      <c r="G1" s="1"/>
      <c r="H1" s="1"/>
    </row>
    <row r="2" spans="1:8">
      <c r="A2" s="2" t="s">
        <v>184</v>
      </c>
      <c r="B2" s="3" t="s">
        <v>185</v>
      </c>
      <c r="C2" s="2" t="s">
        <v>193</v>
      </c>
      <c r="D2" s="3">
        <v>31</v>
      </c>
    </row>
    <row r="3" spans="1:8">
      <c r="A3" s="2" t="s">
        <v>186</v>
      </c>
      <c r="B3" s="3" t="s">
        <v>187</v>
      </c>
      <c r="C3" s="2" t="s">
        <v>194</v>
      </c>
      <c r="D3" s="3" t="s">
        <v>195</v>
      </c>
    </row>
    <row r="4" spans="1:8">
      <c r="A4" s="2" t="s">
        <v>188</v>
      </c>
      <c r="B4" s="3" t="s">
        <v>87</v>
      </c>
      <c r="C4" s="2" t="s">
        <v>196</v>
      </c>
      <c r="D4" s="3" t="s">
        <v>195</v>
      </c>
    </row>
    <row r="5" spans="1:8">
      <c r="A5" s="2" t="s">
        <v>189</v>
      </c>
      <c r="B5" s="3" t="s">
        <v>190</v>
      </c>
      <c r="C5" s="2" t="s">
        <v>197</v>
      </c>
      <c r="D5" s="3">
        <v>1</v>
      </c>
    </row>
    <row r="6" spans="1:8">
      <c r="A6" s="2" t="s">
        <v>191</v>
      </c>
      <c r="B6" s="3" t="s">
        <v>192</v>
      </c>
      <c r="C6" s="2" t="s">
        <v>198</v>
      </c>
      <c r="D6" s="3">
        <v>59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5" t="s">
        <v>9</v>
      </c>
      <c r="C9" s="6" t="s">
        <v>10</v>
      </c>
      <c r="D9" s="7" t="s">
        <v>11</v>
      </c>
      <c r="E9" s="7" t="s">
        <v>12</v>
      </c>
      <c r="F9" s="6" t="s">
        <v>13</v>
      </c>
      <c r="G9" s="6" t="s">
        <v>14</v>
      </c>
      <c r="H9" s="7" t="s">
        <v>15</v>
      </c>
    </row>
    <row r="10" spans="1:8">
      <c r="A10" s="8" t="s">
        <v>9</v>
      </c>
      <c r="B10" s="8" t="s">
        <v>8</v>
      </c>
      <c r="C10" s="9" t="s">
        <v>16</v>
      </c>
      <c r="D10" s="10" t="s">
        <v>11</v>
      </c>
      <c r="E10" s="10" t="s">
        <v>17</v>
      </c>
      <c r="F10" s="9" t="s">
        <v>13</v>
      </c>
      <c r="G10" s="9" t="s">
        <v>14</v>
      </c>
      <c r="H10" s="10" t="s">
        <v>15</v>
      </c>
    </row>
    <row r="11" spans="1:8" ht="30" customHeight="1">
      <c r="A11" s="5" t="s">
        <v>18</v>
      </c>
      <c r="B11" s="5" t="s">
        <v>19</v>
      </c>
      <c r="C11" s="6" t="s">
        <v>20</v>
      </c>
      <c r="D11" s="7" t="s">
        <v>21</v>
      </c>
      <c r="E11" s="7" t="s">
        <v>22</v>
      </c>
      <c r="F11" s="6" t="s">
        <v>23</v>
      </c>
      <c r="G11" s="6" t="s">
        <v>14</v>
      </c>
      <c r="H11" s="7" t="s">
        <v>15</v>
      </c>
    </row>
    <row r="12" spans="1:8" ht="30" customHeight="1">
      <c r="A12" s="8" t="s">
        <v>24</v>
      </c>
      <c r="B12" s="8" t="s">
        <v>8</v>
      </c>
      <c r="C12" s="9" t="s">
        <v>25</v>
      </c>
      <c r="D12" s="10" t="s">
        <v>26</v>
      </c>
      <c r="E12" s="10" t="s">
        <v>27</v>
      </c>
      <c r="F12" s="9" t="s">
        <v>28</v>
      </c>
      <c r="G12" s="9" t="s">
        <v>14</v>
      </c>
      <c r="H12" s="10" t="s">
        <v>15</v>
      </c>
    </row>
    <row r="13" spans="1:8">
      <c r="A13" s="5" t="s">
        <v>29</v>
      </c>
      <c r="B13" s="5" t="s">
        <v>9</v>
      </c>
      <c r="C13" s="6" t="s">
        <v>30</v>
      </c>
      <c r="D13" s="7" t="s">
        <v>11</v>
      </c>
      <c r="E13" s="7" t="s">
        <v>31</v>
      </c>
      <c r="F13" s="6" t="s">
        <v>13</v>
      </c>
      <c r="G13" s="6" t="s">
        <v>14</v>
      </c>
      <c r="H13" s="7" t="s">
        <v>15</v>
      </c>
    </row>
    <row r="14" spans="1:8" ht="30" customHeight="1">
      <c r="A14" s="8" t="s">
        <v>32</v>
      </c>
      <c r="B14" s="8" t="s">
        <v>8</v>
      </c>
      <c r="C14" s="9" t="s">
        <v>33</v>
      </c>
      <c r="D14" s="10" t="s">
        <v>34</v>
      </c>
      <c r="E14" s="10" t="s">
        <v>35</v>
      </c>
      <c r="F14" s="9" t="s">
        <v>36</v>
      </c>
      <c r="G14" s="9" t="s">
        <v>37</v>
      </c>
      <c r="H14" s="10" t="s">
        <v>38</v>
      </c>
    </row>
    <row r="15" spans="1:8">
      <c r="A15" s="5" t="s">
        <v>39</v>
      </c>
      <c r="B15" s="5" t="s">
        <v>9</v>
      </c>
      <c r="C15" s="6" t="s">
        <v>40</v>
      </c>
      <c r="D15" s="7" t="s">
        <v>41</v>
      </c>
      <c r="E15" s="7" t="s">
        <v>42</v>
      </c>
      <c r="F15" s="6" t="s">
        <v>43</v>
      </c>
      <c r="G15" s="6" t="s">
        <v>44</v>
      </c>
      <c r="H15" s="7" t="s">
        <v>45</v>
      </c>
    </row>
    <row r="16" spans="1:8">
      <c r="A16" s="8" t="s">
        <v>46</v>
      </c>
      <c r="B16" s="8" t="s">
        <v>8</v>
      </c>
      <c r="C16" s="9" t="s">
        <v>47</v>
      </c>
      <c r="D16" s="10" t="s">
        <v>48</v>
      </c>
      <c r="E16" s="10" t="s">
        <v>49</v>
      </c>
      <c r="F16" s="9" t="s">
        <v>50</v>
      </c>
      <c r="G16" s="9" t="s">
        <v>37</v>
      </c>
      <c r="H16" s="10" t="s">
        <v>38</v>
      </c>
    </row>
    <row r="17" spans="1:8" ht="30" customHeight="1">
      <c r="A17" s="5" t="s">
        <v>51</v>
      </c>
      <c r="B17" s="5" t="s">
        <v>8</v>
      </c>
      <c r="C17" s="6" t="s">
        <v>52</v>
      </c>
      <c r="D17" s="7" t="s">
        <v>53</v>
      </c>
      <c r="E17" s="7" t="s">
        <v>54</v>
      </c>
      <c r="F17" s="6" t="s">
        <v>55</v>
      </c>
      <c r="G17" s="6" t="s">
        <v>56</v>
      </c>
      <c r="H17" s="7" t="s">
        <v>57</v>
      </c>
    </row>
    <row r="18" spans="1:8" ht="45" customHeight="1">
      <c r="A18" s="8" t="s">
        <v>58</v>
      </c>
      <c r="B18" s="8" t="s">
        <v>8</v>
      </c>
      <c r="C18" s="9" t="s">
        <v>59</v>
      </c>
      <c r="D18" s="10" t="s">
        <v>60</v>
      </c>
      <c r="E18" s="10" t="s">
        <v>61</v>
      </c>
      <c r="F18" s="9" t="s">
        <v>62</v>
      </c>
      <c r="G18" s="9" t="s">
        <v>63</v>
      </c>
      <c r="H18" s="10" t="s">
        <v>64</v>
      </c>
    </row>
    <row r="19" spans="1:8" ht="30" customHeight="1">
      <c r="A19" s="5" t="s">
        <v>65</v>
      </c>
      <c r="B19" s="5" t="s">
        <v>8</v>
      </c>
      <c r="C19" s="6" t="s">
        <v>66</v>
      </c>
      <c r="D19" s="7" t="s">
        <v>60</v>
      </c>
      <c r="E19" s="7" t="s">
        <v>67</v>
      </c>
      <c r="F19" s="6" t="s">
        <v>68</v>
      </c>
      <c r="G19" s="6" t="s">
        <v>69</v>
      </c>
      <c r="H19" s="7" t="s">
        <v>70</v>
      </c>
    </row>
    <row r="20" spans="1:8" ht="30" customHeight="1">
      <c r="A20" s="8" t="s">
        <v>71</v>
      </c>
      <c r="B20" s="8" t="s">
        <v>8</v>
      </c>
      <c r="C20" s="9" t="s">
        <v>72</v>
      </c>
      <c r="D20" s="10" t="s">
        <v>73</v>
      </c>
      <c r="E20" s="10" t="s">
        <v>74</v>
      </c>
      <c r="F20" s="9" t="s">
        <v>75</v>
      </c>
      <c r="G20" s="9" t="s">
        <v>69</v>
      </c>
      <c r="H20" s="10" t="s">
        <v>76</v>
      </c>
    </row>
    <row r="21" spans="1:8" ht="45" customHeight="1">
      <c r="A21" s="5" t="s">
        <v>19</v>
      </c>
      <c r="B21" s="5" t="s">
        <v>8</v>
      </c>
      <c r="C21" s="6" t="s">
        <v>77</v>
      </c>
      <c r="D21" s="7" t="s">
        <v>73</v>
      </c>
      <c r="E21" s="7" t="s">
        <v>78</v>
      </c>
      <c r="F21" s="6" t="s">
        <v>79</v>
      </c>
      <c r="G21" s="6" t="s">
        <v>80</v>
      </c>
      <c r="H21" s="7" t="s">
        <v>81</v>
      </c>
    </row>
    <row r="22" spans="1:8" ht="45" customHeight="1">
      <c r="A22" s="8" t="s">
        <v>82</v>
      </c>
      <c r="B22" s="8" t="s">
        <v>8</v>
      </c>
      <c r="C22" s="9" t="s">
        <v>83</v>
      </c>
      <c r="D22" s="10" t="s">
        <v>60</v>
      </c>
      <c r="E22" s="10" t="s">
        <v>84</v>
      </c>
      <c r="F22" s="9" t="s">
        <v>85</v>
      </c>
      <c r="G22" s="9" t="s">
        <v>86</v>
      </c>
      <c r="H22" s="11" t="s">
        <v>87</v>
      </c>
    </row>
    <row r="23" spans="1:8" ht="30" customHeight="1">
      <c r="A23" s="5" t="s">
        <v>88</v>
      </c>
      <c r="B23" s="5" t="s">
        <v>18</v>
      </c>
      <c r="C23" s="6" t="s">
        <v>89</v>
      </c>
      <c r="D23" s="7" t="s">
        <v>90</v>
      </c>
      <c r="E23" s="7" t="s">
        <v>91</v>
      </c>
      <c r="F23" s="6" t="s">
        <v>92</v>
      </c>
      <c r="G23" s="6" t="s">
        <v>93</v>
      </c>
      <c r="H23" s="7" t="s">
        <v>94</v>
      </c>
    </row>
    <row r="24" spans="1:8">
      <c r="A24" s="8" t="s">
        <v>95</v>
      </c>
      <c r="B24" s="8" t="s">
        <v>8</v>
      </c>
      <c r="C24" s="9" t="s">
        <v>96</v>
      </c>
      <c r="D24" s="10" t="s">
        <v>97</v>
      </c>
      <c r="E24" s="10" t="s">
        <v>98</v>
      </c>
      <c r="F24" s="9" t="s">
        <v>99</v>
      </c>
      <c r="G24" s="11" t="s">
        <v>87</v>
      </c>
      <c r="H24" s="10" t="s">
        <v>100</v>
      </c>
    </row>
    <row r="25" spans="1:8" ht="30" customHeight="1">
      <c r="A25" s="5" t="s">
        <v>101</v>
      </c>
      <c r="B25" s="5" t="s">
        <v>9</v>
      </c>
      <c r="C25" s="6" t="s">
        <v>102</v>
      </c>
      <c r="D25" s="7" t="s">
        <v>103</v>
      </c>
      <c r="E25" s="7" t="s">
        <v>104</v>
      </c>
      <c r="F25" s="6" t="s">
        <v>105</v>
      </c>
      <c r="G25" s="6" t="s">
        <v>106</v>
      </c>
      <c r="H25" s="7" t="s">
        <v>107</v>
      </c>
    </row>
    <row r="26" spans="1:8" ht="30" customHeight="1">
      <c r="A26" s="8" t="s">
        <v>108</v>
      </c>
      <c r="B26" s="8" t="s">
        <v>8</v>
      </c>
      <c r="C26" s="9" t="s">
        <v>109</v>
      </c>
      <c r="D26" s="10" t="s">
        <v>110</v>
      </c>
      <c r="E26" s="10" t="s">
        <v>111</v>
      </c>
      <c r="F26" s="9" t="s">
        <v>112</v>
      </c>
      <c r="G26" s="9" t="s">
        <v>113</v>
      </c>
      <c r="H26" s="10" t="s">
        <v>114</v>
      </c>
    </row>
    <row r="27" spans="1:8">
      <c r="A27" s="5" t="s">
        <v>115</v>
      </c>
      <c r="B27" s="5" t="s">
        <v>9</v>
      </c>
      <c r="C27" s="6" t="s">
        <v>116</v>
      </c>
      <c r="D27" s="7" t="s">
        <v>117</v>
      </c>
      <c r="E27" s="7" t="s">
        <v>118</v>
      </c>
      <c r="F27" s="6" t="s">
        <v>119</v>
      </c>
      <c r="G27" s="6" t="s">
        <v>120</v>
      </c>
      <c r="H27" s="7" t="s">
        <v>121</v>
      </c>
    </row>
    <row r="28" spans="1:8">
      <c r="A28" s="8" t="s">
        <v>122</v>
      </c>
      <c r="B28" s="8" t="s">
        <v>9</v>
      </c>
      <c r="C28" s="9" t="s">
        <v>123</v>
      </c>
      <c r="D28" s="10" t="s">
        <v>117</v>
      </c>
      <c r="E28" s="10" t="s">
        <v>124</v>
      </c>
      <c r="F28" s="9" t="s">
        <v>119</v>
      </c>
      <c r="G28" s="9" t="s">
        <v>125</v>
      </c>
      <c r="H28" s="10" t="s">
        <v>121</v>
      </c>
    </row>
    <row r="29" spans="1:8">
      <c r="A29" s="5" t="s">
        <v>126</v>
      </c>
      <c r="B29" s="5" t="s">
        <v>8</v>
      </c>
      <c r="C29" s="6" t="s">
        <v>127</v>
      </c>
      <c r="D29" s="7" t="s">
        <v>117</v>
      </c>
      <c r="E29" s="7" t="s">
        <v>128</v>
      </c>
      <c r="F29" s="6" t="s">
        <v>119</v>
      </c>
      <c r="G29" s="6" t="s">
        <v>125</v>
      </c>
      <c r="H29" s="7" t="s">
        <v>121</v>
      </c>
    </row>
    <row r="30" spans="1:8">
      <c r="A30" s="8" t="s">
        <v>129</v>
      </c>
      <c r="B30" s="8" t="s">
        <v>8</v>
      </c>
      <c r="C30" s="9" t="s">
        <v>130</v>
      </c>
      <c r="D30" s="10" t="s">
        <v>131</v>
      </c>
      <c r="E30" s="10" t="s">
        <v>132</v>
      </c>
      <c r="F30" s="9" t="s">
        <v>133</v>
      </c>
      <c r="G30" s="9" t="s">
        <v>125</v>
      </c>
      <c r="H30" s="10" t="s">
        <v>121</v>
      </c>
    </row>
    <row r="31" spans="1:8">
      <c r="A31" s="5" t="s">
        <v>134</v>
      </c>
      <c r="B31" s="5" t="s">
        <v>9</v>
      </c>
      <c r="C31" s="6" t="s">
        <v>135</v>
      </c>
      <c r="D31" s="7" t="s">
        <v>131</v>
      </c>
      <c r="E31" s="7" t="s">
        <v>136</v>
      </c>
      <c r="F31" s="6" t="s">
        <v>133</v>
      </c>
      <c r="G31" s="6" t="s">
        <v>125</v>
      </c>
      <c r="H31" s="7" t="s">
        <v>121</v>
      </c>
    </row>
    <row r="32" spans="1:8" ht="30" customHeight="1">
      <c r="A32" s="8" t="s">
        <v>137</v>
      </c>
      <c r="B32" s="8" t="s">
        <v>46</v>
      </c>
      <c r="C32" s="9" t="s">
        <v>138</v>
      </c>
      <c r="D32" s="10" t="s">
        <v>139</v>
      </c>
      <c r="E32" s="10" t="s">
        <v>140</v>
      </c>
      <c r="F32" s="9" t="s">
        <v>141</v>
      </c>
      <c r="G32" s="9" t="s">
        <v>125</v>
      </c>
      <c r="H32" s="10" t="s">
        <v>121</v>
      </c>
    </row>
    <row r="33" spans="1:8">
      <c r="A33" s="5" t="s">
        <v>142</v>
      </c>
      <c r="B33" s="5" t="s">
        <v>8</v>
      </c>
      <c r="C33" s="6" t="s">
        <v>143</v>
      </c>
      <c r="D33" s="7" t="s">
        <v>117</v>
      </c>
      <c r="E33" s="7" t="s">
        <v>144</v>
      </c>
      <c r="F33" s="6" t="s">
        <v>119</v>
      </c>
      <c r="G33" s="6" t="s">
        <v>125</v>
      </c>
      <c r="H33" s="7" t="s">
        <v>121</v>
      </c>
    </row>
    <row r="34" spans="1:8" ht="30" customHeight="1">
      <c r="A34" s="8" t="s">
        <v>145</v>
      </c>
      <c r="B34" s="8" t="s">
        <v>8</v>
      </c>
      <c r="C34" s="9" t="s">
        <v>146</v>
      </c>
      <c r="D34" s="10" t="s">
        <v>34</v>
      </c>
      <c r="E34" s="10" t="s">
        <v>147</v>
      </c>
      <c r="F34" s="9" t="s">
        <v>148</v>
      </c>
      <c r="G34" s="9" t="s">
        <v>149</v>
      </c>
      <c r="H34" s="11" t="s">
        <v>87</v>
      </c>
    </row>
    <row r="35" spans="1:8">
      <c r="A35" s="5" t="s">
        <v>150</v>
      </c>
      <c r="B35" s="5" t="s">
        <v>8</v>
      </c>
      <c r="C35" s="6" t="s">
        <v>151</v>
      </c>
      <c r="D35" s="7" t="s">
        <v>152</v>
      </c>
      <c r="E35" s="7" t="s">
        <v>153</v>
      </c>
      <c r="F35" s="6" t="s">
        <v>154</v>
      </c>
      <c r="G35" s="6" t="s">
        <v>155</v>
      </c>
      <c r="H35" s="7" t="s">
        <v>156</v>
      </c>
    </row>
    <row r="36" spans="1:8" ht="30" customHeight="1">
      <c r="A36" s="8" t="s">
        <v>157</v>
      </c>
      <c r="B36" s="8" t="s">
        <v>8</v>
      </c>
      <c r="C36" s="9" t="s">
        <v>158</v>
      </c>
      <c r="D36" s="10" t="s">
        <v>34</v>
      </c>
      <c r="E36" s="10" t="s">
        <v>159</v>
      </c>
      <c r="F36" s="9" t="s">
        <v>160</v>
      </c>
      <c r="G36" s="9" t="s">
        <v>161</v>
      </c>
      <c r="H36" s="10" t="s">
        <v>162</v>
      </c>
    </row>
    <row r="37" spans="1:8">
      <c r="A37" s="5" t="s">
        <v>163</v>
      </c>
      <c r="B37" s="5" t="s">
        <v>8</v>
      </c>
      <c r="C37" s="6" t="s">
        <v>164</v>
      </c>
      <c r="D37" s="7" t="s">
        <v>165</v>
      </c>
      <c r="E37" s="7" t="s">
        <v>166</v>
      </c>
      <c r="F37" s="6" t="s">
        <v>167</v>
      </c>
      <c r="G37" s="6" t="s">
        <v>166</v>
      </c>
      <c r="H37" s="7" t="s">
        <v>168</v>
      </c>
    </row>
    <row r="38" spans="1:8" ht="30" customHeight="1">
      <c r="A38" s="8" t="s">
        <v>169</v>
      </c>
      <c r="B38" s="8" t="s">
        <v>8</v>
      </c>
      <c r="C38" s="9" t="s">
        <v>170</v>
      </c>
      <c r="D38" s="10" t="s">
        <v>171</v>
      </c>
      <c r="E38" s="10" t="s">
        <v>172</v>
      </c>
      <c r="F38" s="9" t="s">
        <v>173</v>
      </c>
      <c r="G38" s="9" t="s">
        <v>174</v>
      </c>
      <c r="H38" s="10" t="s">
        <v>175</v>
      </c>
    </row>
    <row r="39" spans="1:8">
      <c r="A39" s="5" t="s">
        <v>176</v>
      </c>
      <c r="B39" s="5" t="s">
        <v>8</v>
      </c>
      <c r="C39" s="6" t="s">
        <v>177</v>
      </c>
      <c r="D39" s="7" t="s">
        <v>178</v>
      </c>
      <c r="E39" s="7" t="s">
        <v>179</v>
      </c>
      <c r="F39" s="6" t="s">
        <v>180</v>
      </c>
      <c r="G39" s="6" t="s">
        <v>181</v>
      </c>
      <c r="H39" s="7" t="s">
        <v>182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  <hyperlink ref="F17" r:id="rId9"/>
    <hyperlink ref="F18" r:id="rId10"/>
    <hyperlink ref="F19" r:id="rId11"/>
    <hyperlink ref="F20" r:id="rId12"/>
    <hyperlink ref="F21" r:id="rId13"/>
    <hyperlink ref="F22" r:id="rId14"/>
    <hyperlink ref="F23" r:id="rId15"/>
    <hyperlink ref="F24" r:id="rId16"/>
    <hyperlink ref="F25" r:id="rId17"/>
    <hyperlink ref="F26" r:id="rId18"/>
    <hyperlink ref="F27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  <hyperlink ref="F36" r:id="rId28"/>
    <hyperlink ref="F37" r:id="rId29"/>
    <hyperlink ref="F38" r:id="rId30"/>
    <hyperlink ref="F39" r:id="rId31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5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17.7109375" customWidth="1"/>
    <col min="3" max="3" width="41.7109375" customWidth="1" outlineLevel="2"/>
    <col min="4" max="4" width="29.7109375" customWidth="1" outlineLevel="1"/>
    <col min="5" max="5" width="24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183</v>
      </c>
      <c r="B1" s="1"/>
      <c r="C1" s="1"/>
      <c r="D1" s="1"/>
      <c r="E1" s="1"/>
      <c r="F1" s="1"/>
      <c r="G1" s="1"/>
      <c r="H1" s="1"/>
    </row>
    <row r="2" spans="1:14">
      <c r="A2" s="2" t="s">
        <v>184</v>
      </c>
      <c r="B2" s="3" t="s">
        <v>185</v>
      </c>
      <c r="G2" s="12" t="s">
        <v>242</v>
      </c>
      <c r="H2" s="12">
        <v>1</v>
      </c>
    </row>
    <row r="3" spans="1:14">
      <c r="A3" s="2" t="s">
        <v>186</v>
      </c>
      <c r="B3" s="3" t="s">
        <v>187</v>
      </c>
      <c r="G3" s="13" t="s">
        <v>244</v>
      </c>
      <c r="H3" s="14">
        <f>TotalCost/BoardQty</f>
        <v>0.0</v>
      </c>
    </row>
    <row r="4" spans="1:14">
      <c r="A4" s="2" t="s">
        <v>188</v>
      </c>
      <c r="B4" s="3" t="s">
        <v>87</v>
      </c>
      <c r="G4" s="13" t="s">
        <v>243</v>
      </c>
      <c r="H4" s="15">
        <f>SUM(H10:H40)</f>
        <v>0</v>
      </c>
      <c r="M4" s="15">
        <f>SUM(M10:M40)</f>
        <v>0</v>
      </c>
      <c r="N4" s="16" t="str">
        <f>(COUNTA(M10:M40)&amp;" of "&amp;ROWS(M10:M40)&amp;" parts found")</f>
        <v>0 of 31 parts found</v>
      </c>
    </row>
    <row r="5" spans="1:14">
      <c r="A5" s="2" t="s">
        <v>189</v>
      </c>
      <c r="B5" s="3" t="s">
        <v>190</v>
      </c>
    </row>
    <row r="6" spans="1:14">
      <c r="A6" s="2" t="s">
        <v>191</v>
      </c>
      <c r="B6" s="3" t="s">
        <v>192</v>
      </c>
    </row>
    <row r="8" spans="1:14">
      <c r="A8" s="17" t="s">
        <v>199</v>
      </c>
      <c r="B8" s="17"/>
      <c r="C8" s="17"/>
      <c r="D8" s="17"/>
      <c r="E8" s="17"/>
      <c r="F8" s="17"/>
      <c r="G8" s="17"/>
      <c r="H8" s="17"/>
      <c r="I8" s="18" t="s">
        <v>234</v>
      </c>
      <c r="J8" s="18"/>
      <c r="K8" s="18"/>
      <c r="L8" s="18"/>
      <c r="M8" s="18"/>
      <c r="N8" s="18"/>
    </row>
    <row r="9" spans="1:14">
      <c r="A9" s="19" t="s">
        <v>2</v>
      </c>
      <c r="B9" s="19" t="s">
        <v>200</v>
      </c>
      <c r="C9" s="19" t="s">
        <v>6</v>
      </c>
      <c r="D9" s="19" t="s">
        <v>201</v>
      </c>
      <c r="E9" s="19" t="s">
        <v>202</v>
      </c>
      <c r="F9" s="19" t="s">
        <v>203</v>
      </c>
      <c r="G9" s="19" t="s">
        <v>204</v>
      </c>
      <c r="H9" s="19" t="s">
        <v>205</v>
      </c>
      <c r="I9" s="19" t="s">
        <v>235</v>
      </c>
      <c r="J9" s="19" t="s">
        <v>236</v>
      </c>
      <c r="K9" s="19" t="s">
        <v>204</v>
      </c>
      <c r="L9" s="19" t="s">
        <v>237</v>
      </c>
      <c r="M9" s="19" t="s">
        <v>205</v>
      </c>
      <c r="N9" s="19" t="s">
        <v>238</v>
      </c>
    </row>
    <row r="10" spans="1:14">
      <c r="A10" s="20" t="s">
        <v>10</v>
      </c>
      <c r="B10" s="20" t="s">
        <v>206</v>
      </c>
      <c r="C10" s="20" t="s">
        <v>14</v>
      </c>
      <c r="D10" s="20" t="s">
        <v>11</v>
      </c>
      <c r="E10" s="20" t="s">
        <v>12</v>
      </c>
      <c r="F10" s="20">
        <f>CEILING(BoardQty*2,1)</f>
        <v>2</v>
      </c>
      <c r="G10" s="21">
        <f>IF(MIN(K10)&lt;&gt;0,MIN(K10),"")</f>
        <v/>
      </c>
      <c r="H10" s="22">
        <f>IF(AND(ISNUMBER(F10),ISNUMBER(G10)),F10*G10,"")</f>
        <v/>
      </c>
    </row>
    <row r="11" spans="1:14">
      <c r="A11" s="20" t="s">
        <v>16</v>
      </c>
      <c r="B11" s="20" t="s">
        <v>207</v>
      </c>
      <c r="C11" s="20" t="s">
        <v>14</v>
      </c>
      <c r="D11" s="20" t="s">
        <v>11</v>
      </c>
      <c r="E11" s="20" t="s">
        <v>17</v>
      </c>
      <c r="F11" s="20">
        <f>BoardQty*1</f>
        <v>1</v>
      </c>
      <c r="G11" s="21">
        <f>IF(MIN(K11)&lt;&gt;0,MIN(K11),"")</f>
        <v/>
      </c>
      <c r="H11" s="22">
        <f>IF(AND(ISNUMBER(F11),ISNUMBER(G11)),F11*G11,"")</f>
        <v/>
      </c>
    </row>
    <row r="12" spans="1:14" ht="30" customHeight="1">
      <c r="A12" s="20" t="s">
        <v>20</v>
      </c>
      <c r="B12" s="20" t="s">
        <v>208</v>
      </c>
      <c r="C12" s="20" t="s">
        <v>14</v>
      </c>
      <c r="D12" s="20" t="s">
        <v>21</v>
      </c>
      <c r="E12" s="20" t="s">
        <v>22</v>
      </c>
      <c r="F12" s="20">
        <f>CEILING(BoardQty*13,1)</f>
        <v>13</v>
      </c>
      <c r="G12" s="21">
        <f>IF(MIN(K12)&lt;&gt;0,MIN(K12),"")</f>
        <v/>
      </c>
      <c r="H12" s="22">
        <f>IF(AND(ISNUMBER(F12),ISNUMBER(G12)),F12*G12,"")</f>
        <v/>
      </c>
    </row>
    <row r="13" spans="1:14">
      <c r="A13" s="20" t="s">
        <v>25</v>
      </c>
      <c r="B13" s="20" t="s">
        <v>209</v>
      </c>
      <c r="C13" s="20" t="s">
        <v>14</v>
      </c>
      <c r="D13" s="20" t="s">
        <v>26</v>
      </c>
      <c r="E13" s="20" t="s">
        <v>27</v>
      </c>
      <c r="F13" s="20">
        <f>BoardQty*1</f>
        <v>1</v>
      </c>
      <c r="G13" s="21">
        <f>IF(MIN(K13)&lt;&gt;0,MIN(K13),"")</f>
        <v/>
      </c>
      <c r="H13" s="22">
        <f>IF(AND(ISNUMBER(F13),ISNUMBER(G13)),F13*G13,"")</f>
        <v/>
      </c>
    </row>
    <row r="14" spans="1:14">
      <c r="A14" s="20" t="s">
        <v>30</v>
      </c>
      <c r="B14" s="20" t="s">
        <v>210</v>
      </c>
      <c r="C14" s="20" t="s">
        <v>14</v>
      </c>
      <c r="D14" s="20" t="s">
        <v>11</v>
      </c>
      <c r="E14" s="20" t="s">
        <v>31</v>
      </c>
      <c r="F14" s="20">
        <f>CEILING(BoardQty*2,1)</f>
        <v>2</v>
      </c>
      <c r="G14" s="21">
        <f>IF(MIN(K14)&lt;&gt;0,MIN(K14),"")</f>
        <v/>
      </c>
      <c r="H14" s="22">
        <f>IF(AND(ISNUMBER(F14),ISNUMBER(G14)),F14*G14,"")</f>
        <v/>
      </c>
    </row>
    <row r="15" spans="1:14">
      <c r="A15" s="20" t="s">
        <v>33</v>
      </c>
      <c r="B15" s="20" t="s">
        <v>211</v>
      </c>
      <c r="C15" s="20" t="s">
        <v>37</v>
      </c>
      <c r="D15" s="20" t="s">
        <v>34</v>
      </c>
      <c r="E15" s="20" t="s">
        <v>35</v>
      </c>
      <c r="F15" s="20">
        <f>BoardQty*1</f>
        <v>1</v>
      </c>
      <c r="G15" s="21">
        <f>IF(MIN(K15)&lt;&gt;0,MIN(K15),"")</f>
        <v/>
      </c>
      <c r="H15" s="22">
        <f>IF(AND(ISNUMBER(F15),ISNUMBER(G15)),F15*G15,"")</f>
        <v/>
      </c>
    </row>
    <row r="16" spans="1:14">
      <c r="A16" s="20" t="s">
        <v>40</v>
      </c>
      <c r="B16" s="20" t="s">
        <v>212</v>
      </c>
      <c r="C16" s="20" t="s">
        <v>44</v>
      </c>
      <c r="D16" s="20" t="s">
        <v>41</v>
      </c>
      <c r="E16" s="20" t="s">
        <v>42</v>
      </c>
      <c r="F16" s="20">
        <f>CEILING(BoardQty*2,1)</f>
        <v>2</v>
      </c>
      <c r="G16" s="21">
        <f>IF(MIN(K16)&lt;&gt;0,MIN(K16),"")</f>
        <v/>
      </c>
      <c r="H16" s="22">
        <f>IF(AND(ISNUMBER(F16),ISNUMBER(G16)),F16*G16,"")</f>
        <v/>
      </c>
    </row>
    <row r="17" spans="1:8">
      <c r="A17" s="20" t="s">
        <v>47</v>
      </c>
      <c r="B17" s="20" t="s">
        <v>213</v>
      </c>
      <c r="C17" s="20" t="s">
        <v>37</v>
      </c>
      <c r="D17" s="20" t="s">
        <v>48</v>
      </c>
      <c r="E17" s="20" t="s">
        <v>49</v>
      </c>
      <c r="F17" s="20">
        <f>BoardQty*1</f>
        <v>1</v>
      </c>
      <c r="G17" s="21">
        <f>IF(MIN(K17)&lt;&gt;0,MIN(K17),"")</f>
        <v/>
      </c>
      <c r="H17" s="22">
        <f>IF(AND(ISNUMBER(F17),ISNUMBER(G17)),F17*G17,"")</f>
        <v/>
      </c>
    </row>
    <row r="18" spans="1:8">
      <c r="A18" s="20" t="s">
        <v>52</v>
      </c>
      <c r="B18" s="20" t="s">
        <v>214</v>
      </c>
      <c r="C18" s="20" t="s">
        <v>56</v>
      </c>
      <c r="D18" s="20" t="s">
        <v>53</v>
      </c>
      <c r="E18" s="20" t="s">
        <v>54</v>
      </c>
      <c r="F18" s="20">
        <f>BoardQty*1</f>
        <v>1</v>
      </c>
      <c r="G18" s="21">
        <f>IF(MIN(K18)&lt;&gt;0,MIN(K18),"")</f>
        <v/>
      </c>
      <c r="H18" s="22">
        <f>IF(AND(ISNUMBER(F18),ISNUMBER(G18)),F18*G18,"")</f>
        <v/>
      </c>
    </row>
    <row r="19" spans="1:8">
      <c r="A19" s="20" t="s">
        <v>59</v>
      </c>
      <c r="B19" s="20" t="s">
        <v>215</v>
      </c>
      <c r="C19" s="20" t="s">
        <v>63</v>
      </c>
      <c r="D19" s="20" t="s">
        <v>60</v>
      </c>
      <c r="E19" s="20" t="s">
        <v>61</v>
      </c>
      <c r="F19" s="20">
        <f>BoardQty*1</f>
        <v>1</v>
      </c>
      <c r="G19" s="21">
        <f>IF(MIN(K19)&lt;&gt;0,MIN(K19),"")</f>
        <v/>
      </c>
      <c r="H19" s="22">
        <f>IF(AND(ISNUMBER(F19),ISNUMBER(G19)),F19*G19,"")</f>
        <v/>
      </c>
    </row>
    <row r="20" spans="1:8">
      <c r="A20" s="20" t="s">
        <v>66</v>
      </c>
      <c r="B20" s="20" t="s">
        <v>216</v>
      </c>
      <c r="C20" s="20" t="s">
        <v>69</v>
      </c>
      <c r="D20" s="20" t="s">
        <v>60</v>
      </c>
      <c r="E20" s="20" t="s">
        <v>67</v>
      </c>
      <c r="F20" s="20">
        <f>BoardQty*1</f>
        <v>1</v>
      </c>
      <c r="G20" s="21">
        <f>IF(MIN(K20)&lt;&gt;0,MIN(K20),"")</f>
        <v/>
      </c>
      <c r="H20" s="22">
        <f>IF(AND(ISNUMBER(F20),ISNUMBER(G20)),F20*G20,"")</f>
        <v/>
      </c>
    </row>
    <row r="21" spans="1:8">
      <c r="A21" s="20" t="s">
        <v>72</v>
      </c>
      <c r="B21" s="20" t="s">
        <v>217</v>
      </c>
      <c r="C21" s="20" t="s">
        <v>69</v>
      </c>
      <c r="D21" s="20" t="s">
        <v>73</v>
      </c>
      <c r="E21" s="20" t="s">
        <v>74</v>
      </c>
      <c r="F21" s="20">
        <f>BoardQty*1</f>
        <v>1</v>
      </c>
      <c r="G21" s="21">
        <f>IF(MIN(K21)&lt;&gt;0,MIN(K21),"")</f>
        <v/>
      </c>
      <c r="H21" s="22">
        <f>IF(AND(ISNUMBER(F21),ISNUMBER(G21)),F21*G21,"")</f>
        <v/>
      </c>
    </row>
    <row r="22" spans="1:8">
      <c r="A22" s="20" t="s">
        <v>77</v>
      </c>
      <c r="B22" s="20" t="s">
        <v>218</v>
      </c>
      <c r="C22" s="20" t="s">
        <v>80</v>
      </c>
      <c r="D22" s="20" t="s">
        <v>73</v>
      </c>
      <c r="E22" s="20" t="s">
        <v>78</v>
      </c>
      <c r="F22" s="20">
        <f>BoardQty*1</f>
        <v>1</v>
      </c>
      <c r="G22" s="21">
        <f>IF(MIN(K22)&lt;&gt;0,MIN(K22),"")</f>
        <v/>
      </c>
      <c r="H22" s="22">
        <f>IF(AND(ISNUMBER(F22),ISNUMBER(G22)),F22*G22,"")</f>
        <v/>
      </c>
    </row>
    <row r="23" spans="1:8">
      <c r="A23" s="20" t="s">
        <v>83</v>
      </c>
      <c r="B23" s="20" t="s">
        <v>219</v>
      </c>
      <c r="C23" s="20" t="s">
        <v>86</v>
      </c>
      <c r="D23" s="20" t="s">
        <v>60</v>
      </c>
      <c r="E23" s="20" t="s">
        <v>84</v>
      </c>
      <c r="F23" s="20">
        <f>BoardQty*1</f>
        <v>1</v>
      </c>
      <c r="G23" s="21">
        <f>IF(MIN(K23)&lt;&gt;0,MIN(K23),"")</f>
        <v/>
      </c>
      <c r="H23" s="22">
        <f>IF(AND(ISNUMBER(F23),ISNUMBER(G23)),F23*G23,"")</f>
        <v/>
      </c>
    </row>
    <row r="24" spans="1:8">
      <c r="A24" s="20" t="s">
        <v>89</v>
      </c>
      <c r="B24" s="20" t="s">
        <v>91</v>
      </c>
      <c r="C24" s="20" t="s">
        <v>93</v>
      </c>
      <c r="D24" s="20" t="s">
        <v>90</v>
      </c>
      <c r="E24" s="20" t="s">
        <v>91</v>
      </c>
      <c r="F24" s="20">
        <f>CEILING(BoardQty*3,1)</f>
        <v>3</v>
      </c>
      <c r="G24" s="21">
        <f>IF(MIN(K24)&lt;&gt;0,MIN(K24),"")</f>
        <v/>
      </c>
      <c r="H24" s="22">
        <f>IF(AND(ISNUMBER(F24),ISNUMBER(G24)),F24*G24,"")</f>
        <v/>
      </c>
    </row>
    <row r="25" spans="1:8">
      <c r="A25" s="20" t="s">
        <v>96</v>
      </c>
      <c r="B25" s="20" t="s">
        <v>220</v>
      </c>
      <c r="C25" s="20" t="s">
        <v>87</v>
      </c>
      <c r="D25" s="20" t="s">
        <v>97</v>
      </c>
      <c r="E25" s="20" t="s">
        <v>98</v>
      </c>
      <c r="F25" s="20">
        <f>BoardQty*1</f>
        <v>1</v>
      </c>
      <c r="G25" s="21">
        <f>IF(MIN(K25)&lt;&gt;0,MIN(K25),"")</f>
        <v/>
      </c>
      <c r="H25" s="22">
        <f>IF(AND(ISNUMBER(F25),ISNUMBER(G25)),F25*G25,"")</f>
        <v/>
      </c>
    </row>
    <row r="26" spans="1:8">
      <c r="A26" s="20" t="s">
        <v>102</v>
      </c>
      <c r="B26" s="20" t="s">
        <v>221</v>
      </c>
      <c r="C26" s="20" t="s">
        <v>106</v>
      </c>
      <c r="D26" s="20" t="s">
        <v>103</v>
      </c>
      <c r="E26" s="20" t="s">
        <v>104</v>
      </c>
      <c r="F26" s="20">
        <f>CEILING(BoardQty*2,1)</f>
        <v>2</v>
      </c>
      <c r="G26" s="21">
        <f>IF(MIN(K26)&lt;&gt;0,MIN(K26),"")</f>
        <v/>
      </c>
      <c r="H26" s="22">
        <f>IF(AND(ISNUMBER(F26),ISNUMBER(G26)),F26*G26,"")</f>
        <v/>
      </c>
    </row>
    <row r="27" spans="1:8">
      <c r="A27" s="20" t="s">
        <v>109</v>
      </c>
      <c r="B27" s="20" t="s">
        <v>111</v>
      </c>
      <c r="C27" s="20" t="s">
        <v>113</v>
      </c>
      <c r="D27" s="20" t="s">
        <v>110</v>
      </c>
      <c r="E27" s="20" t="s">
        <v>111</v>
      </c>
      <c r="F27" s="20">
        <f>BoardQty*1</f>
        <v>1</v>
      </c>
      <c r="G27" s="21">
        <f>IF(MIN(K27)&lt;&gt;0,MIN(K27),"")</f>
        <v/>
      </c>
      <c r="H27" s="22">
        <f>IF(AND(ISNUMBER(F27),ISNUMBER(G27)),F27*G27,"")</f>
        <v/>
      </c>
    </row>
    <row r="28" spans="1:8">
      <c r="A28" s="20" t="s">
        <v>116</v>
      </c>
      <c r="B28" s="20" t="s">
        <v>222</v>
      </c>
      <c r="C28" s="20" t="s">
        <v>120</v>
      </c>
      <c r="D28" s="20" t="s">
        <v>117</v>
      </c>
      <c r="E28" s="20" t="s">
        <v>118</v>
      </c>
      <c r="F28" s="20">
        <f>CEILING(BoardQty*2,1)</f>
        <v>2</v>
      </c>
      <c r="G28" s="21">
        <f>IF(MIN(K28)&lt;&gt;0,MIN(K28),"")</f>
        <v/>
      </c>
      <c r="H28" s="22">
        <f>IF(AND(ISNUMBER(F28),ISNUMBER(G28)),F28*G28,"")</f>
        <v/>
      </c>
    </row>
    <row r="29" spans="1:8">
      <c r="A29" s="20" t="s">
        <v>123</v>
      </c>
      <c r="B29" s="20" t="s">
        <v>223</v>
      </c>
      <c r="C29" s="20" t="s">
        <v>125</v>
      </c>
      <c r="D29" s="20" t="s">
        <v>117</v>
      </c>
      <c r="E29" s="20" t="s">
        <v>124</v>
      </c>
      <c r="F29" s="20">
        <f>CEILING(BoardQty*2,1)</f>
        <v>2</v>
      </c>
      <c r="G29" s="21">
        <f>IF(MIN(K29)&lt;&gt;0,MIN(K29),"")</f>
        <v/>
      </c>
      <c r="H29" s="22">
        <f>IF(AND(ISNUMBER(F29),ISNUMBER(G29)),F29*G29,"")</f>
        <v/>
      </c>
    </row>
    <row r="30" spans="1:8">
      <c r="A30" s="20" t="s">
        <v>127</v>
      </c>
      <c r="B30" s="20" t="s">
        <v>224</v>
      </c>
      <c r="C30" s="20" t="s">
        <v>125</v>
      </c>
      <c r="D30" s="20" t="s">
        <v>117</v>
      </c>
      <c r="E30" s="20" t="s">
        <v>128</v>
      </c>
      <c r="F30" s="20">
        <f>BoardQty*1</f>
        <v>1</v>
      </c>
      <c r="G30" s="21">
        <f>IF(MIN(K30)&lt;&gt;0,MIN(K30),"")</f>
        <v/>
      </c>
      <c r="H30" s="22">
        <f>IF(AND(ISNUMBER(F30),ISNUMBER(G30)),F30*G30,"")</f>
        <v/>
      </c>
    </row>
    <row r="31" spans="1:8">
      <c r="A31" s="20" t="s">
        <v>130</v>
      </c>
      <c r="B31" s="20" t="s">
        <v>225</v>
      </c>
      <c r="C31" s="20" t="s">
        <v>125</v>
      </c>
      <c r="D31" s="20" t="s">
        <v>131</v>
      </c>
      <c r="E31" s="20" t="s">
        <v>132</v>
      </c>
      <c r="F31" s="20">
        <f>BoardQty*1</f>
        <v>1</v>
      </c>
      <c r="G31" s="21">
        <f>IF(MIN(K31)&lt;&gt;0,MIN(K31),"")</f>
        <v/>
      </c>
      <c r="H31" s="22">
        <f>IF(AND(ISNUMBER(F31),ISNUMBER(G31)),F31*G31,"")</f>
        <v/>
      </c>
    </row>
    <row r="32" spans="1:8">
      <c r="A32" s="20" t="s">
        <v>135</v>
      </c>
      <c r="B32" s="20" t="s">
        <v>226</v>
      </c>
      <c r="C32" s="20" t="s">
        <v>125</v>
      </c>
      <c r="D32" s="20" t="s">
        <v>131</v>
      </c>
      <c r="E32" s="20" t="s">
        <v>136</v>
      </c>
      <c r="F32" s="20">
        <f>CEILING(BoardQty*2,1)</f>
        <v>2</v>
      </c>
      <c r="G32" s="21">
        <f>IF(MIN(K32)&lt;&gt;0,MIN(K32),"")</f>
        <v/>
      </c>
      <c r="H32" s="22">
        <f>IF(AND(ISNUMBER(F32),ISNUMBER(G32)),F32*G32,"")</f>
        <v/>
      </c>
    </row>
    <row r="33" spans="1:13">
      <c r="A33" s="20" t="s">
        <v>138</v>
      </c>
      <c r="B33" s="20" t="s">
        <v>227</v>
      </c>
      <c r="C33" s="20" t="s">
        <v>125</v>
      </c>
      <c r="D33" s="20" t="s">
        <v>139</v>
      </c>
      <c r="E33" s="20" t="s">
        <v>140</v>
      </c>
      <c r="F33" s="20">
        <f>CEILING(BoardQty*8,1)</f>
        <v>8</v>
      </c>
      <c r="G33" s="21">
        <f>IF(MIN(K33)&lt;&gt;0,MIN(K33),"")</f>
        <v/>
      </c>
      <c r="H33" s="22">
        <f>IF(AND(ISNUMBER(F33),ISNUMBER(G33)),F33*G33,"")</f>
        <v/>
      </c>
    </row>
    <row r="34" spans="1:13">
      <c r="A34" s="20" t="s">
        <v>143</v>
      </c>
      <c r="B34" s="20" t="s">
        <v>228</v>
      </c>
      <c r="C34" s="20" t="s">
        <v>125</v>
      </c>
      <c r="D34" s="20" t="s">
        <v>117</v>
      </c>
      <c r="E34" s="20" t="s">
        <v>144</v>
      </c>
      <c r="F34" s="20">
        <f>BoardQty*1</f>
        <v>1</v>
      </c>
      <c r="G34" s="21">
        <f>IF(MIN(K34)&lt;&gt;0,MIN(K34),"")</f>
        <v/>
      </c>
      <c r="H34" s="22">
        <f>IF(AND(ISNUMBER(F34),ISNUMBER(G34)),F34*G34,"")</f>
        <v/>
      </c>
    </row>
    <row r="35" spans="1:13">
      <c r="A35" s="20" t="s">
        <v>146</v>
      </c>
      <c r="B35" s="20" t="s">
        <v>229</v>
      </c>
      <c r="C35" s="20" t="s">
        <v>149</v>
      </c>
      <c r="D35" s="20" t="s">
        <v>34</v>
      </c>
      <c r="E35" s="20" t="s">
        <v>147</v>
      </c>
      <c r="F35" s="20">
        <f>BoardQty*1</f>
        <v>1</v>
      </c>
      <c r="G35" s="21">
        <f>IF(MIN(K35)&lt;&gt;0,MIN(K35),"")</f>
        <v/>
      </c>
      <c r="H35" s="22">
        <f>IF(AND(ISNUMBER(F35),ISNUMBER(G35)),F35*G35,"")</f>
        <v/>
      </c>
    </row>
    <row r="36" spans="1:13">
      <c r="A36" s="20" t="s">
        <v>151</v>
      </c>
      <c r="B36" s="20" t="s">
        <v>211</v>
      </c>
      <c r="C36" s="20" t="s">
        <v>155</v>
      </c>
      <c r="D36" s="20" t="s">
        <v>152</v>
      </c>
      <c r="E36" s="20" t="s">
        <v>153</v>
      </c>
      <c r="F36" s="20">
        <f>BoardQty*1</f>
        <v>1</v>
      </c>
      <c r="G36" s="21">
        <f>IF(MIN(K36)&lt;&gt;0,MIN(K36),"")</f>
        <v/>
      </c>
      <c r="H36" s="22">
        <f>IF(AND(ISNUMBER(F36),ISNUMBER(G36)),F36*G36,"")</f>
        <v/>
      </c>
    </row>
    <row r="37" spans="1:13">
      <c r="A37" s="20" t="s">
        <v>158</v>
      </c>
      <c r="B37" s="20" t="s">
        <v>230</v>
      </c>
      <c r="C37" s="20" t="s">
        <v>161</v>
      </c>
      <c r="D37" s="20" t="s">
        <v>34</v>
      </c>
      <c r="E37" s="20" t="s">
        <v>159</v>
      </c>
      <c r="F37" s="20">
        <f>BoardQty*1</f>
        <v>1</v>
      </c>
      <c r="G37" s="21">
        <f>IF(MIN(K37)&lt;&gt;0,MIN(K37),"")</f>
        <v/>
      </c>
      <c r="H37" s="22">
        <f>IF(AND(ISNUMBER(F37),ISNUMBER(G37)),F37*G37,"")</f>
        <v/>
      </c>
    </row>
    <row r="38" spans="1:13">
      <c r="A38" s="20" t="s">
        <v>164</v>
      </c>
      <c r="B38" s="20" t="s">
        <v>231</v>
      </c>
      <c r="C38" s="20" t="s">
        <v>166</v>
      </c>
      <c r="D38" s="20" t="s">
        <v>165</v>
      </c>
      <c r="E38" s="20" t="s">
        <v>166</v>
      </c>
      <c r="F38" s="20">
        <f>BoardQty*1</f>
        <v>1</v>
      </c>
      <c r="G38" s="21">
        <f>IF(MIN(K38)&lt;&gt;0,MIN(K38),"")</f>
        <v/>
      </c>
      <c r="H38" s="22">
        <f>IF(AND(ISNUMBER(F38),ISNUMBER(G38)),F38*G38,"")</f>
        <v/>
      </c>
    </row>
    <row r="39" spans="1:13">
      <c r="A39" s="20" t="s">
        <v>170</v>
      </c>
      <c r="B39" s="20" t="s">
        <v>232</v>
      </c>
      <c r="C39" s="20" t="s">
        <v>174</v>
      </c>
      <c r="D39" s="20" t="s">
        <v>171</v>
      </c>
      <c r="E39" s="20" t="s">
        <v>172</v>
      </c>
      <c r="F39" s="20">
        <f>BoardQty*1</f>
        <v>1</v>
      </c>
      <c r="G39" s="21">
        <f>IF(MIN(K39)&lt;&gt;0,MIN(K39),"")</f>
        <v/>
      </c>
      <c r="H39" s="22">
        <f>IF(AND(ISNUMBER(F39),ISNUMBER(G39)),F39*G39,"")</f>
        <v/>
      </c>
    </row>
    <row r="40" spans="1:13">
      <c r="A40" s="20" t="s">
        <v>177</v>
      </c>
      <c r="B40" s="20" t="s">
        <v>233</v>
      </c>
      <c r="C40" s="20" t="s">
        <v>181</v>
      </c>
      <c r="D40" s="20" t="s">
        <v>178</v>
      </c>
      <c r="E40" s="20" t="s">
        <v>179</v>
      </c>
      <c r="F40" s="20">
        <f>BoardQty*1</f>
        <v>1</v>
      </c>
      <c r="G40" s="21">
        <f>IF(MIN(K40)&lt;&gt;0,MIN(K40),"")</f>
        <v/>
      </c>
      <c r="H40" s="22">
        <f>IF(AND(ISNUMBER(F40),ISNUMBER(G40)),F40*G40,"")</f>
        <v/>
      </c>
    </row>
    <row r="42" spans="1:13">
      <c r="G42" s="13" t="s">
        <v>240</v>
      </c>
      <c r="H42" s="15">
        <f>SUM(M42)</f>
        <v>0</v>
      </c>
      <c r="I42" s="23" t="s">
        <v>239</v>
      </c>
      <c r="J42" s="16">
        <f>IFERROR(IF(COUNTIF(J10:J40,"&gt;0")&gt;0,COUNTIF(J10:J40,"&gt;0")&amp;" of "&amp;(ROWS(L10:L40)-COUNTBLANK(L10:L40))&amp;" parts purchased",""),"")</f>
        <v/>
      </c>
      <c r="M42" s="15">
        <f>SUMIF(J10:J40,"&gt;0",M10:M40)</f>
        <v>0</v>
      </c>
    </row>
    <row r="43" spans="1:13">
      <c r="A43" s="24" t="s">
        <v>245</v>
      </c>
      <c r="B43" s="25" t="s">
        <v>246</v>
      </c>
      <c r="G43" s="26" t="s">
        <v>241</v>
      </c>
      <c r="J43" s="27">
        <f>CONCATENATE(J75,J76,J77,J78,J79,J80,J81,J82,J83,J84,J85,J86,J87,J88,J89,J90,J91,J92,J93,J94,J95,J96,J97,J98,J99,J100,J101,J102,J103,J104,J105)</f>
        <v/>
      </c>
    </row>
    <row r="44" spans="1:13">
      <c r="A44" s="28" t="s">
        <v>247</v>
      </c>
    </row>
    <row r="75" spans="10:10" ht="30" hidden="1" customHeight="1">
      <c r="J75" t="str">
        <f t="array" ref="J75:J105">IF(ISNUMBER(J10:J40)*(J10:J40&gt;=L10:L40)*(N10:N40&lt;&gt;""),N10:N40&amp;"|"&amp;TEXT(ROUNDUP(J10:J40/IF(ISNUMBER(L10:L40),L10:L40,1),0)*L10:L40,"##0")&amp;"|"&amp;SUBSTITUTE(SUBSTITUTE(SUBSTITUTE(IF(PURCHASE_DESCRIPTION&lt;&gt;"",PURCHASE_DESCRIPTION&amp;":","")&amp;A10:A40,"|",";")," ","_"),"
","_")&amp;CHAR(10),"")</f>
        <v/>
      </c>
    </row>
    <row r="76" spans="10:10" ht="30" hidden="1" customHeight="1">
      <c r="J76">
        <v>0</v>
      </c>
    </row>
    <row r="77" spans="10:10" ht="30" hidden="1" customHeight="1">
      <c r="J77">
        <v>0</v>
      </c>
    </row>
    <row r="78" spans="10:10" ht="30" hidden="1" customHeight="1">
      <c r="J78">
        <v>0</v>
      </c>
    </row>
    <row r="79" spans="10:10" ht="30" hidden="1" customHeight="1">
      <c r="J79">
        <v>0</v>
      </c>
    </row>
    <row r="80" spans="10:10" ht="30" hidden="1" customHeight="1">
      <c r="J80">
        <v>0</v>
      </c>
    </row>
    <row r="81" spans="10:10" ht="30" hidden="1" customHeight="1">
      <c r="J81">
        <v>0</v>
      </c>
    </row>
    <row r="82" spans="10:10" ht="30" hidden="1" customHeight="1">
      <c r="J82">
        <v>0</v>
      </c>
    </row>
    <row r="83" spans="10:10" ht="30" hidden="1" customHeight="1">
      <c r="J83">
        <v>0</v>
      </c>
    </row>
    <row r="84" spans="10:10" ht="30" hidden="1" customHeight="1">
      <c r="J84">
        <v>0</v>
      </c>
    </row>
    <row r="85" spans="10:10" ht="30" hidden="1" customHeight="1">
      <c r="J85">
        <v>0</v>
      </c>
    </row>
    <row r="86" spans="10:10" ht="30" hidden="1" customHeight="1">
      <c r="J86">
        <v>0</v>
      </c>
    </row>
    <row r="87" spans="10:10" ht="30" hidden="1" customHeight="1">
      <c r="J87">
        <v>0</v>
      </c>
    </row>
    <row r="88" spans="10:10" ht="30" hidden="1" customHeight="1">
      <c r="J88">
        <v>0</v>
      </c>
    </row>
    <row r="89" spans="10:10" ht="30" hidden="1" customHeight="1">
      <c r="J89">
        <v>0</v>
      </c>
    </row>
    <row r="90" spans="10:10" ht="30" hidden="1" customHeight="1">
      <c r="J90">
        <v>0</v>
      </c>
    </row>
    <row r="91" spans="10:10" ht="30" hidden="1" customHeight="1">
      <c r="J91">
        <v>0</v>
      </c>
    </row>
    <row r="92" spans="10:10" ht="30" hidden="1" customHeight="1">
      <c r="J92">
        <v>0</v>
      </c>
    </row>
    <row r="93" spans="10:10" ht="30" hidden="1" customHeight="1">
      <c r="J93">
        <v>0</v>
      </c>
    </row>
    <row r="94" spans="10:10" ht="30" hidden="1" customHeight="1">
      <c r="J94">
        <v>0</v>
      </c>
    </row>
    <row r="95" spans="10:10" ht="30" hidden="1" customHeight="1">
      <c r="J95">
        <v>0</v>
      </c>
    </row>
    <row r="96" spans="10:10" ht="30" hidden="1" customHeight="1">
      <c r="J96">
        <v>0</v>
      </c>
    </row>
    <row r="97" spans="10:10" ht="30" hidden="1" customHeight="1">
      <c r="J97">
        <v>0</v>
      </c>
    </row>
    <row r="98" spans="10:10" ht="30" hidden="1" customHeight="1">
      <c r="J98">
        <v>0</v>
      </c>
    </row>
    <row r="99" spans="10:10" ht="30" hidden="1" customHeight="1">
      <c r="J99">
        <v>0</v>
      </c>
    </row>
    <row r="100" spans="10:10" ht="30" hidden="1" customHeight="1">
      <c r="J100">
        <v>0</v>
      </c>
    </row>
    <row r="101" spans="10:10" ht="30" hidden="1" customHeight="1">
      <c r="J101">
        <v>0</v>
      </c>
    </row>
    <row r="102" spans="10:10" ht="30" hidden="1" customHeight="1">
      <c r="J102">
        <v>0</v>
      </c>
    </row>
    <row r="103" spans="10:10" ht="30" hidden="1" customHeight="1">
      <c r="J103">
        <v>0</v>
      </c>
    </row>
    <row r="104" spans="10:10" ht="30" hidden="1" customHeight="1">
      <c r="J104">
        <v>0</v>
      </c>
    </row>
    <row r="105" spans="10:10" ht="30" hidden="1" customHeight="1">
      <c r="J105">
        <v>0</v>
      </c>
    </row>
  </sheetData>
  <mergeCells count="4">
    <mergeCell ref="A8:H8"/>
    <mergeCell ref="I8:N8"/>
    <mergeCell ref="J43:M74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I42" r:id="rId32"/>
  </hyperlinks>
  <pageMargins left="0.7" right="0.7" top="0.75" bottom="0.75" header="0.3" footer="0.3"/>
  <legacyDrawing r:id="rId3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248</v>
      </c>
    </row>
    <row r="2" spans="1:1">
      <c r="A2" s="6" t="s">
        <v>249</v>
      </c>
    </row>
    <row r="3" spans="1:1">
      <c r="A3" s="5" t="s">
        <v>250</v>
      </c>
    </row>
    <row r="4" spans="1:1">
      <c r="A4" s="7" t="s">
        <v>251</v>
      </c>
    </row>
    <row r="5" spans="1:1">
      <c r="A5" s="29" t="s">
        <v>252</v>
      </c>
    </row>
    <row r="7" spans="1:1">
      <c r="A7" t="s">
        <v>253</v>
      </c>
    </row>
    <row r="8" spans="1:1">
      <c r="A8" s="30" t="s">
        <v>254</v>
      </c>
    </row>
    <row r="9" spans="1:1">
      <c r="A9" s="31" t="s">
        <v>255</v>
      </c>
    </row>
    <row r="10" spans="1:1">
      <c r="A10" s="32" t="s">
        <v>256</v>
      </c>
    </row>
    <row r="11" spans="1:1">
      <c r="A11" s="33" t="s">
        <v>257</v>
      </c>
    </row>
    <row r="12" spans="1:1">
      <c r="A12" s="34" t="s">
        <v>258</v>
      </c>
    </row>
    <row r="13" spans="1:1">
      <c r="A13" s="35" t="s">
        <v>259</v>
      </c>
    </row>
    <row r="14" spans="1:1">
      <c r="A14" s="36" t="s">
        <v>260</v>
      </c>
    </row>
    <row r="15" spans="1:1">
      <c r="A15" s="37" t="s">
        <v>261</v>
      </c>
    </row>
    <row r="16" spans="1:1">
      <c r="A16" s="38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2026-02-23T09:25:22Z</dcterms:created>
  <dcterms:modified xsi:type="dcterms:W3CDTF">2026-02-23T09:25:22Z</dcterms:modified>
</cp:coreProperties>
</file>